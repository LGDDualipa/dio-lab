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10594d856d9a77/Documentos/"/>
    </mc:Choice>
  </mc:AlternateContent>
  <xr:revisionPtr revIDLastSave="0" documentId="8_{D557F77F-F961-4A1D-8817-B81B9CE35AB9}" xr6:coauthVersionLast="47" xr6:coauthVersionMax="47" xr10:uidLastSave="{00000000-0000-0000-0000-000000000000}"/>
  <bookViews>
    <workbookView xWindow="-120" yWindow="-120" windowWidth="29040" windowHeight="15720" xr2:uid="{A7349985-FE8E-4209-91AB-59E874DE7C92}"/>
  </bookViews>
  <sheets>
    <sheet name="Planilha1" sheetId="1" r:id="rId1"/>
    <sheet name="Planilha2" sheetId="2" r:id="rId2"/>
  </sheets>
  <definedNames>
    <definedName name="Aporte">Planilha2!$D$22</definedName>
    <definedName name="Qnt_Anos">Planilha2!$D$23</definedName>
    <definedName name="Rendimento">Planilha2!$C$18</definedName>
    <definedName name="salario">Planilha2!$C$17</definedName>
    <definedName name="sugestao_investimento">Planilha2!$C$19</definedName>
    <definedName name="Taxa_Mensal">Planilha2!$D$24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H21" i="2" s="1"/>
  <c r="G22" i="2"/>
  <c r="H22" i="2" s="1"/>
  <c r="G23" i="2"/>
  <c r="H23" i="2" s="1"/>
  <c r="G24" i="2"/>
  <c r="G20" i="2"/>
  <c r="G25" i="2" s="1"/>
  <c r="I27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24" i="1"/>
  <c r="D21" i="1"/>
  <c r="D20" i="1"/>
  <c r="D19" i="1"/>
  <c r="D18" i="1"/>
  <c r="D17" i="1"/>
  <c r="C14" i="1"/>
  <c r="G17" i="2"/>
  <c r="D25" i="2"/>
  <c r="D26" i="2" s="1"/>
  <c r="C19" i="2"/>
  <c r="D33" i="2"/>
  <c r="E33" i="2" s="1"/>
  <c r="D32" i="2"/>
  <c r="E32" i="2" s="1"/>
  <c r="D31" i="2"/>
  <c r="E31" i="2" s="1"/>
  <c r="D30" i="2"/>
  <c r="E30" i="2" s="1"/>
  <c r="D29" i="2"/>
  <c r="E29" i="2" s="1"/>
  <c r="H24" i="2" l="1"/>
  <c r="H20" i="2"/>
  <c r="H25" i="2" s="1"/>
</calcChain>
</file>

<file path=xl/sharedStrings.xml><?xml version="1.0" encoding="utf-8"?>
<sst xmlns="http://schemas.openxmlformats.org/spreadsheetml/2006/main" count="80" uniqueCount="38">
  <si>
    <t>Criar um simulador de investimento</t>
  </si>
  <si>
    <t>Por quantos anos?</t>
  </si>
  <si>
    <t>Taxa de Rendimento Mensal?</t>
  </si>
  <si>
    <t>Quanto investir por mês?</t>
  </si>
  <si>
    <t>Qual PL total Acumulado?</t>
  </si>
  <si>
    <t>Qual Rendimento Mensal?</t>
  </si>
  <si>
    <t>Investimento mensal</t>
  </si>
  <si>
    <t>Quanto Investir por Mês?</t>
  </si>
  <si>
    <t>PL Acumulado.</t>
  </si>
  <si>
    <t>Dividendo Mensal</t>
  </si>
  <si>
    <t>Quanto em 2 Anos?</t>
  </si>
  <si>
    <t>Quanto em 5 Anos?</t>
  </si>
  <si>
    <t>Quanto em 10 Anos?</t>
  </si>
  <si>
    <t>Quanto em 20 Anos?</t>
  </si>
  <si>
    <t>Cenarios</t>
  </si>
  <si>
    <t>Quanto em 30 Anos?</t>
  </si>
  <si>
    <t>Dividendo</t>
  </si>
  <si>
    <t>Configurações</t>
  </si>
  <si>
    <t>Redimento Carteira</t>
  </si>
  <si>
    <t>Salario</t>
  </si>
  <si>
    <t>Sugestão de Investimento</t>
  </si>
  <si>
    <t>Pefil</t>
  </si>
  <si>
    <t>Conservador</t>
  </si>
  <si>
    <t>Valor a ser Investido por mês</t>
  </si>
  <si>
    <t>Tipo de FII</t>
  </si>
  <si>
    <t>Valor</t>
  </si>
  <si>
    <t>Papel</t>
  </si>
  <si>
    <t>Tijolo</t>
  </si>
  <si>
    <t>Hibridos</t>
  </si>
  <si>
    <t>Desenvolvimento</t>
  </si>
  <si>
    <t>Hedge Funds</t>
  </si>
  <si>
    <t>%</t>
  </si>
  <si>
    <t>Moderado</t>
  </si>
  <si>
    <t>Agressivo</t>
  </si>
  <si>
    <t>CHAVE</t>
  </si>
  <si>
    <t>PERFIL</t>
  </si>
  <si>
    <t>TIPO DE FII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</si>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</sst>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Dashed">
        <color theme="2" tint="-9.9917600024414813E-2"/>
      </right>
      <top/>
      <bottom style="mediumDashed">
        <color theme="2" tint="-9.9917600024414813E-2"/>
      </bottom>
      <diagonal/>
    </border>
    <border>
      <left/>
      <right style="mediumDashed">
        <color theme="2" tint="-9.9917600024414813E-2"/>
      </right>
      <top style="mediumDashed">
        <color theme="2" tint="-9.9917600024414813E-2"/>
      </top>
      <bottom style="mediumDashed">
        <color theme="2" tint="-9.9917600024414813E-2"/>
      </bottom>
      <diagonal/>
    </border>
    <border>
      <left style="mediumDashed">
        <color theme="2" tint="-9.9917600024414813E-2"/>
      </left>
      <right style="medium">
        <color indexed="64"/>
      </right>
      <top/>
      <bottom style="mediumDashed">
        <color theme="2" tint="-9.9917600024414813E-2"/>
      </bottom>
      <diagonal/>
    </border>
    <border>
      <left style="mediumDashed">
        <color theme="2" tint="-9.9917600024414813E-2"/>
      </left>
      <right style="medium">
        <color indexed="64"/>
      </right>
      <top style="mediumDashed">
        <color theme="2" tint="-9.9917600024414813E-2"/>
      </top>
      <bottom style="mediumDashed">
        <color theme="2" tint="-9.9917600024414813E-2"/>
      </bottom>
      <diagonal/>
    </border>
    <border>
      <left style="mediumDashed">
        <color theme="2" tint="-9.9917600024414813E-2"/>
      </left>
      <right style="medium">
        <color indexed="64"/>
      </right>
      <top style="mediumDashed">
        <color theme="2" tint="-9.9917600024414813E-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Dashed">
        <color theme="2" tint="-9.9917600024414813E-2"/>
      </top>
      <bottom style="medium">
        <color indexed="64"/>
      </bottom>
      <diagonal/>
    </border>
    <border>
      <left/>
      <right style="mediumDashed">
        <color theme="2" tint="-9.9917600024414813E-2"/>
      </right>
      <top style="mediumDashed">
        <color theme="2" tint="-9.9917600024414813E-2"/>
      </top>
      <bottom style="medium">
        <color indexed="64"/>
      </bottom>
      <diagonal/>
    </border>
    <border>
      <left style="medium">
        <color indexed="64"/>
      </left>
      <right/>
      <top style="mediumDashed">
        <color theme="2" tint="-9.9917600024414813E-2"/>
      </top>
      <bottom style="mediumDashed">
        <color theme="2" tint="-9.9917600024414813E-2"/>
      </bottom>
      <diagonal/>
    </border>
    <border>
      <left style="medium">
        <color indexed="64"/>
      </left>
      <right/>
      <top/>
      <bottom style="mediumDashed">
        <color theme="2" tint="-9.991760002441481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5" borderId="0" xfId="0" applyFont="1" applyFill="1"/>
    <xf numFmtId="0" fontId="5" fillId="3" borderId="0" xfId="0" applyFont="1" applyFill="1" applyAlignment="1">
      <alignment horizontal="center" vertical="center" wrapText="1"/>
    </xf>
    <xf numFmtId="0" fontId="0" fillId="5" borderId="12" xfId="0" applyNumberFormat="1" applyFill="1" applyBorder="1" applyAlignment="1">
      <alignment horizontal="center" vertical="center"/>
    </xf>
    <xf numFmtId="10" fontId="0" fillId="5" borderId="12" xfId="2" applyNumberFormat="1" applyFont="1" applyFill="1" applyBorder="1" applyAlignment="1">
      <alignment horizontal="center" vertical="center"/>
    </xf>
    <xf numFmtId="170" fontId="0" fillId="5" borderId="12" xfId="1" applyNumberFormat="1" applyFont="1" applyFill="1" applyBorder="1" applyAlignment="1">
      <alignment horizontal="center" vertical="center"/>
    </xf>
    <xf numFmtId="170" fontId="0" fillId="2" borderId="10" xfId="1" applyNumberFormat="1" applyFont="1" applyFill="1" applyBorder="1" applyAlignment="1">
      <alignment horizontal="center" vertical="center" wrapText="1"/>
    </xf>
    <xf numFmtId="170" fontId="0" fillId="2" borderId="13" xfId="1" applyNumberFormat="1" applyFont="1" applyFill="1" applyBorder="1" applyAlignment="1">
      <alignment horizontal="center" vertical="center" wrapText="1"/>
    </xf>
    <xf numFmtId="170" fontId="4" fillId="2" borderId="17" xfId="1" applyNumberFormat="1" applyFont="1" applyFill="1" applyBorder="1" applyAlignment="1">
      <alignment horizontal="center" vertical="center" wrapText="1"/>
    </xf>
    <xf numFmtId="170" fontId="0" fillId="4" borderId="20" xfId="1" applyNumberFormat="1" applyFont="1" applyFill="1" applyBorder="1"/>
    <xf numFmtId="170" fontId="4" fillId="2" borderId="18" xfId="1" applyNumberFormat="1" applyFont="1" applyFill="1" applyBorder="1" applyAlignment="1">
      <alignment horizontal="center" vertical="center" wrapText="1"/>
    </xf>
    <xf numFmtId="170" fontId="0" fillId="4" borderId="21" xfId="1" applyNumberFormat="1" applyFont="1" applyFill="1" applyBorder="1"/>
    <xf numFmtId="170" fontId="4" fillId="2" borderId="19" xfId="1" applyNumberFormat="1" applyFont="1" applyFill="1" applyBorder="1" applyAlignment="1">
      <alignment horizontal="center" vertical="center" wrapText="1"/>
    </xf>
    <xf numFmtId="170" fontId="0" fillId="4" borderId="22" xfId="1" applyNumberFormat="1" applyFont="1" applyFill="1" applyBorder="1"/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9" fontId="0" fillId="0" borderId="0" xfId="2" applyFont="1"/>
    <xf numFmtId="170" fontId="0" fillId="0" borderId="0" xfId="0" applyNumberFormat="1"/>
    <xf numFmtId="0" fontId="6" fillId="6" borderId="7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44" fontId="0" fillId="0" borderId="10" xfId="1" applyFon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44" fontId="0" fillId="0" borderId="13" xfId="0" applyNumberForma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25" xfId="0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23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/>
    <xf numFmtId="170" fontId="0" fillId="0" borderId="14" xfId="1" applyNumberFormat="1" applyFont="1" applyBorder="1" applyAlignment="1">
      <alignment horizontal="center" vertical="center" wrapText="1"/>
    </xf>
    <xf numFmtId="170" fontId="0" fillId="0" borderId="6" xfId="1" applyNumberFormat="1" applyFont="1" applyBorder="1" applyAlignment="1">
      <alignment horizontal="center" vertical="center" wrapText="1"/>
    </xf>
    <xf numFmtId="9" fontId="0" fillId="0" borderId="0" xfId="2" applyFont="1" applyBorder="1" applyAlignment="1">
      <alignment horizontal="center" vertical="center" wrapText="1"/>
    </xf>
    <xf numFmtId="9" fontId="0" fillId="0" borderId="5" xfId="2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0" fontId="0" fillId="0" borderId="0" xfId="1" applyNumberFormat="1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5" borderId="30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left" vertical="center"/>
    </xf>
    <xf numFmtId="0" fontId="0" fillId="5" borderId="32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9" fontId="0" fillId="0" borderId="33" xfId="2" applyFont="1" applyBorder="1" applyAlignment="1">
      <alignment horizontal="center" vertical="center" wrapText="1"/>
    </xf>
    <xf numFmtId="0" fontId="0" fillId="0" borderId="34" xfId="0" applyBorder="1" applyAlignment="1">
      <alignment horizontal="left" vertical="center"/>
    </xf>
    <xf numFmtId="9" fontId="0" fillId="0" borderId="35" xfId="2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/>
    </xf>
    <xf numFmtId="0" fontId="0" fillId="5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9" fontId="0" fillId="0" borderId="38" xfId="2" applyFont="1" applyBorder="1" applyAlignment="1">
      <alignment horizontal="center" vertical="center" wrapText="1"/>
    </xf>
    <xf numFmtId="9" fontId="0" fillId="0" borderId="33" xfId="2" applyFont="1" applyFill="1" applyBorder="1" applyAlignment="1">
      <alignment horizontal="center" vertical="center" wrapText="1"/>
    </xf>
    <xf numFmtId="9" fontId="0" fillId="0" borderId="35" xfId="2" applyFont="1" applyFill="1" applyBorder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123265</xdr:rowOff>
    </xdr:from>
    <xdr:to>
      <xdr:col>6</xdr:col>
      <xdr:colOff>347382</xdr:colOff>
      <xdr:row>12</xdr:row>
      <xdr:rowOff>185308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85E547-6064-5DD1-06A8-2E23AB88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123265"/>
          <a:ext cx="6757147" cy="2348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B3CB-6165-4B04-9FF0-242A26BE04B3}">
  <dimension ref="A1:I38"/>
  <sheetViews>
    <sheetView tabSelected="1" topLeftCell="A12" workbookViewId="0">
      <selection activeCell="A17" sqref="A17"/>
    </sheetView>
  </sheetViews>
  <sheetFormatPr defaultRowHeight="15" x14ac:dyDescent="0.25"/>
  <cols>
    <col min="1" max="1" width="28.42578125" bestFit="1" customWidth="1"/>
    <col min="2" max="2" width="33.140625" bestFit="1" customWidth="1"/>
    <col min="3" max="3" width="12.140625" bestFit="1" customWidth="1"/>
  </cols>
  <sheetData>
    <row r="1" spans="2:4" x14ac:dyDescent="0.25">
      <c r="B1" t="s">
        <v>0</v>
      </c>
    </row>
    <row r="2" spans="2:4" x14ac:dyDescent="0.25">
      <c r="B2" t="s">
        <v>3</v>
      </c>
    </row>
    <row r="3" spans="2:4" x14ac:dyDescent="0.25">
      <c r="B3" t="s">
        <v>1</v>
      </c>
    </row>
    <row r="4" spans="2:4" x14ac:dyDescent="0.25">
      <c r="B4" t="s">
        <v>2</v>
      </c>
    </row>
    <row r="5" spans="2:4" x14ac:dyDescent="0.25">
      <c r="B5" t="s">
        <v>4</v>
      </c>
    </row>
    <row r="6" spans="2:4" x14ac:dyDescent="0.25">
      <c r="B6" t="s">
        <v>5</v>
      </c>
    </row>
    <row r="12" spans="2:4" ht="15.75" thickBot="1" x14ac:dyDescent="0.3"/>
    <row r="13" spans="2:4" x14ac:dyDescent="0.25">
      <c r="B13" s="45" t="s">
        <v>21</v>
      </c>
      <c r="C13" s="46" t="s">
        <v>33</v>
      </c>
    </row>
    <row r="14" spans="2:4" ht="15.75" thickBot="1" x14ac:dyDescent="0.3">
      <c r="B14" s="47" t="s">
        <v>23</v>
      </c>
      <c r="C14" s="48">
        <f>Aporte</f>
        <v>1500</v>
      </c>
    </row>
    <row r="15" spans="2:4" ht="15.75" thickBot="1" x14ac:dyDescent="0.3"/>
    <row r="16" spans="2:4" x14ac:dyDescent="0.25">
      <c r="B16" s="54" t="s">
        <v>24</v>
      </c>
      <c r="C16" s="53" t="s">
        <v>31</v>
      </c>
      <c r="D16" s="55" t="s">
        <v>25</v>
      </c>
    </row>
    <row r="17" spans="1:9" x14ac:dyDescent="0.25">
      <c r="B17" s="18" t="s">
        <v>26</v>
      </c>
      <c r="C17" s="51">
        <v>0.2</v>
      </c>
      <c r="D17" s="49">
        <f>C17*Aporte</f>
        <v>300</v>
      </c>
    </row>
    <row r="18" spans="1:9" x14ac:dyDescent="0.25">
      <c r="B18" s="18" t="s">
        <v>27</v>
      </c>
      <c r="C18" s="51">
        <v>0.5</v>
      </c>
      <c r="D18" s="49">
        <f>C18*Aporte</f>
        <v>750</v>
      </c>
    </row>
    <row r="19" spans="1:9" x14ac:dyDescent="0.25">
      <c r="B19" s="18" t="s">
        <v>28</v>
      </c>
      <c r="C19" s="51">
        <v>0.05</v>
      </c>
      <c r="D19" s="49">
        <f>C19*Aporte</f>
        <v>75</v>
      </c>
    </row>
    <row r="20" spans="1:9" x14ac:dyDescent="0.25">
      <c r="B20" s="18" t="s">
        <v>30</v>
      </c>
      <c r="C20" s="51">
        <v>0.25</v>
      </c>
      <c r="D20" s="49">
        <f>C20*Aporte</f>
        <v>375</v>
      </c>
    </row>
    <row r="21" spans="1:9" ht="15.75" thickBot="1" x14ac:dyDescent="0.3">
      <c r="B21" s="19" t="s">
        <v>29</v>
      </c>
      <c r="C21" s="52">
        <v>0</v>
      </c>
      <c r="D21" s="50">
        <f>C21*Aporte</f>
        <v>0</v>
      </c>
    </row>
    <row r="22" spans="1:9" ht="15.75" thickBot="1" x14ac:dyDescent="0.3">
      <c r="B22" s="18"/>
      <c r="C22" s="51"/>
      <c r="D22" s="56"/>
    </row>
    <row r="23" spans="1:9" ht="15.75" thickBot="1" x14ac:dyDescent="0.3">
      <c r="A23" s="60" t="s">
        <v>34</v>
      </c>
      <c r="B23" s="57" t="s">
        <v>35</v>
      </c>
      <c r="C23" s="58" t="s">
        <v>36</v>
      </c>
      <c r="D23" s="59" t="s">
        <v>31</v>
      </c>
    </row>
    <row r="24" spans="1:9" x14ac:dyDescent="0.25">
      <c r="A24" s="63" t="str">
        <f>B24&amp;"-"&amp;C24</f>
        <v>Conservador-Papel</v>
      </c>
      <c r="B24" s="64" t="s">
        <v>22</v>
      </c>
      <c r="C24" s="65" t="s">
        <v>26</v>
      </c>
      <c r="D24" s="66">
        <v>0.1</v>
      </c>
    </row>
    <row r="25" spans="1:9" x14ac:dyDescent="0.25">
      <c r="A25" s="67" t="str">
        <f t="shared" ref="A25:A38" si="0">B25&amp;"-"&amp;C25</f>
        <v>Conservador-Tijolo</v>
      </c>
      <c r="B25" s="61" t="s">
        <v>22</v>
      </c>
      <c r="C25" s="62" t="s">
        <v>27</v>
      </c>
      <c r="D25" s="68">
        <v>0.5</v>
      </c>
    </row>
    <row r="26" spans="1:9" x14ac:dyDescent="0.25">
      <c r="A26" s="67" t="str">
        <f t="shared" si="0"/>
        <v>Conservador-Hibridos</v>
      </c>
      <c r="B26" s="61" t="s">
        <v>22</v>
      </c>
      <c r="C26" s="62" t="s">
        <v>28</v>
      </c>
      <c r="D26" s="68">
        <v>0.05</v>
      </c>
    </row>
    <row r="27" spans="1:9" ht="30" x14ac:dyDescent="0.25">
      <c r="A27" s="67" t="str">
        <f t="shared" si="0"/>
        <v>Conservador-Hedge Funds</v>
      </c>
      <c r="B27" s="61" t="s">
        <v>22</v>
      </c>
      <c r="C27" s="62" t="s">
        <v>30</v>
      </c>
      <c r="D27" s="68">
        <v>0.35</v>
      </c>
      <c r="H27" s="67" t="s">
        <v>37</v>
      </c>
      <c r="I27" s="20">
        <f>VLOOKUP(H27,A24:D38,4)</f>
        <v>0.2</v>
      </c>
    </row>
    <row r="28" spans="1:9" ht="30.75" thickBot="1" x14ac:dyDescent="0.3">
      <c r="A28" s="69" t="str">
        <f t="shared" si="0"/>
        <v>Conservador-Desenvolvimento</v>
      </c>
      <c r="B28" s="70" t="s">
        <v>22</v>
      </c>
      <c r="C28" s="71" t="s">
        <v>29</v>
      </c>
      <c r="D28" s="72">
        <v>0</v>
      </c>
    </row>
    <row r="29" spans="1:9" x14ac:dyDescent="0.25">
      <c r="A29" s="63" t="str">
        <f t="shared" si="0"/>
        <v>Moderado-Papel</v>
      </c>
      <c r="B29" s="64" t="s">
        <v>32</v>
      </c>
      <c r="C29" s="65" t="s">
        <v>26</v>
      </c>
      <c r="D29" s="73">
        <v>0.1</v>
      </c>
    </row>
    <row r="30" spans="1:9" x14ac:dyDescent="0.25">
      <c r="A30" s="67" t="str">
        <f t="shared" si="0"/>
        <v>Moderado-Tijolo</v>
      </c>
      <c r="B30" s="61" t="s">
        <v>32</v>
      </c>
      <c r="C30" s="62" t="s">
        <v>27</v>
      </c>
      <c r="D30" s="74">
        <v>0.2</v>
      </c>
    </row>
    <row r="31" spans="1:9" x14ac:dyDescent="0.25">
      <c r="A31" s="67" t="str">
        <f t="shared" si="0"/>
        <v>Moderado-Hibridos</v>
      </c>
      <c r="B31" s="61" t="s">
        <v>32</v>
      </c>
      <c r="C31" s="62" t="s">
        <v>28</v>
      </c>
      <c r="D31" s="74">
        <v>0.1</v>
      </c>
    </row>
    <row r="32" spans="1:9" ht="30" x14ac:dyDescent="0.25">
      <c r="A32" s="67" t="str">
        <f t="shared" si="0"/>
        <v>Moderado-Hedge Funds</v>
      </c>
      <c r="B32" s="61" t="s">
        <v>32</v>
      </c>
      <c r="C32" s="62" t="s">
        <v>30</v>
      </c>
      <c r="D32" s="68">
        <v>0.5</v>
      </c>
    </row>
    <row r="33" spans="1:4" ht="30.75" thickBot="1" x14ac:dyDescent="0.3">
      <c r="A33" s="69" t="str">
        <f t="shared" si="0"/>
        <v>Moderado-Desenvolvimento</v>
      </c>
      <c r="B33" s="70" t="s">
        <v>32</v>
      </c>
      <c r="C33" s="71" t="s">
        <v>29</v>
      </c>
      <c r="D33" s="72">
        <v>0.1</v>
      </c>
    </row>
    <row r="34" spans="1:4" x14ac:dyDescent="0.25">
      <c r="A34" s="63" t="str">
        <f t="shared" si="0"/>
        <v>Agressivo-Papel</v>
      </c>
      <c r="B34" s="64" t="s">
        <v>33</v>
      </c>
      <c r="C34" s="65" t="s">
        <v>26</v>
      </c>
      <c r="D34" s="73">
        <v>0.2</v>
      </c>
    </row>
    <row r="35" spans="1:4" x14ac:dyDescent="0.25">
      <c r="A35" s="67" t="str">
        <f t="shared" si="0"/>
        <v>Agressivo-Tijolo</v>
      </c>
      <c r="B35" s="61" t="s">
        <v>33</v>
      </c>
      <c r="C35" s="62" t="s">
        <v>27</v>
      </c>
      <c r="D35" s="74">
        <v>0</v>
      </c>
    </row>
    <row r="36" spans="1:4" x14ac:dyDescent="0.25">
      <c r="A36" s="67" t="str">
        <f t="shared" si="0"/>
        <v>Agressivo-Hibridos</v>
      </c>
      <c r="B36" s="61" t="s">
        <v>33</v>
      </c>
      <c r="C36" s="62" t="s">
        <v>28</v>
      </c>
      <c r="D36" s="68">
        <v>0.1</v>
      </c>
    </row>
    <row r="37" spans="1:4" ht="30" x14ac:dyDescent="0.25">
      <c r="A37" s="67" t="str">
        <f t="shared" si="0"/>
        <v>Agressivo-Hedge Funds</v>
      </c>
      <c r="B37" s="61" t="s">
        <v>33</v>
      </c>
      <c r="C37" s="62" t="s">
        <v>30</v>
      </c>
      <c r="D37" s="68">
        <v>0.5</v>
      </c>
    </row>
    <row r="38" spans="1:4" ht="30.75" thickBot="1" x14ac:dyDescent="0.3">
      <c r="A38" s="69" t="str">
        <f t="shared" si="0"/>
        <v>Agressivo-Desenvolvimento</v>
      </c>
      <c r="B38" s="70" t="s">
        <v>33</v>
      </c>
      <c r="C38" s="71" t="s">
        <v>29</v>
      </c>
      <c r="D38" s="72">
        <v>0.2</v>
      </c>
    </row>
  </sheetData>
  <dataValidations count="1">
    <dataValidation type="list" allowBlank="1" showInputMessage="1" showErrorMessage="1" sqref="C13 B24:B38" xr:uid="{440F6FE3-3C65-43A1-9FFF-89C500F0AF8F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19BF-6049-4AB2-8795-119BA1005506}">
  <dimension ref="A1:H76"/>
  <sheetViews>
    <sheetView showGridLines="0" topLeftCell="A4" zoomScale="85" zoomScaleNormal="85" workbookViewId="0">
      <selection activeCell="G17" sqref="G17"/>
    </sheetView>
  </sheetViews>
  <sheetFormatPr defaultColWidth="0" defaultRowHeight="15" zeroHeight="1" x14ac:dyDescent="0.25"/>
  <cols>
    <col min="1" max="1" width="3.140625" bestFit="1" customWidth="1"/>
    <col min="2" max="2" width="29.28515625" bestFit="1" customWidth="1"/>
    <col min="3" max="3" width="11.5703125" bestFit="1" customWidth="1"/>
    <col min="4" max="4" width="14.42578125" bestFit="1" customWidth="1"/>
    <col min="5" max="5" width="12.28515625" bestFit="1" customWidth="1"/>
    <col min="6" max="6" width="27" bestFit="1" customWidth="1"/>
    <col min="7" max="7" width="12.140625" bestFit="1" customWidth="1"/>
    <col min="8" max="8" width="13.28515625" bestFit="1" customWidth="1"/>
    <col min="9" max="10" width="9.140625" customWidth="1"/>
    <col min="11" max="16384" width="9.140625" hidden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/>
    <row r="12" spans="1:8" x14ac:dyDescent="0.25"/>
    <row r="13" spans="1:8" ht="20.25" customHeight="1" x14ac:dyDescent="0.25"/>
    <row r="14" spans="1:8" ht="20.25" customHeight="1" x14ac:dyDescent="0.25"/>
    <row r="15" spans="1:8" ht="20.25" customHeight="1" thickBot="1" x14ac:dyDescent="0.3"/>
    <row r="16" spans="1:8" ht="20.25" customHeight="1" thickBot="1" x14ac:dyDescent="0.4">
      <c r="B16" s="22" t="s">
        <v>17</v>
      </c>
      <c r="C16" s="23"/>
      <c r="F16" s="45" t="s">
        <v>21</v>
      </c>
      <c r="G16" s="46" t="s">
        <v>22</v>
      </c>
    </row>
    <row r="17" spans="1:8" ht="20.25" customHeight="1" thickBot="1" x14ac:dyDescent="0.3">
      <c r="B17" s="32" t="s">
        <v>19</v>
      </c>
      <c r="C17" s="24">
        <v>5000</v>
      </c>
      <c r="F17" s="47" t="s">
        <v>23</v>
      </c>
      <c r="G17" s="48">
        <f>Aporte</f>
        <v>1500</v>
      </c>
    </row>
    <row r="18" spans="1:8" ht="20.25" customHeight="1" thickBot="1" x14ac:dyDescent="0.3">
      <c r="B18" s="32" t="s">
        <v>18</v>
      </c>
      <c r="C18" s="25">
        <v>9.9000000000000008E-3</v>
      </c>
    </row>
    <row r="19" spans="1:8" ht="20.25" customHeight="1" thickBot="1" x14ac:dyDescent="0.3">
      <c r="B19" s="33" t="s">
        <v>20</v>
      </c>
      <c r="C19" s="26">
        <f>C17*0.3</f>
        <v>1500</v>
      </c>
      <c r="F19" s="54" t="s">
        <v>24</v>
      </c>
      <c r="G19" s="53" t="s">
        <v>31</v>
      </c>
      <c r="H19" s="55" t="s">
        <v>25</v>
      </c>
    </row>
    <row r="20" spans="1:8" ht="20.25" customHeight="1" thickBot="1" x14ac:dyDescent="0.3">
      <c r="F20" s="18" t="s">
        <v>26</v>
      </c>
      <c r="G20" s="51">
        <f>VLOOKUP(($G$16&amp;"-"&amp;F20),Planilha1!$A$23:$D$38,4,FALSE)</f>
        <v>0.1</v>
      </c>
      <c r="H20" s="49">
        <f>G20*Aporte</f>
        <v>150</v>
      </c>
    </row>
    <row r="21" spans="1:8" ht="20.25" customHeight="1" thickBot="1" x14ac:dyDescent="0.3">
      <c r="B21" s="2" t="s">
        <v>6</v>
      </c>
      <c r="C21" s="3"/>
      <c r="D21" s="4"/>
      <c r="F21" s="18" t="s">
        <v>27</v>
      </c>
      <c r="G21" s="51">
        <f>VLOOKUP(($G$16&amp;"-"&amp;F21),Planilha1!$A$23:$D$38,4,FALSE)</f>
        <v>0.5</v>
      </c>
      <c r="H21" s="49">
        <f>G21*Aporte</f>
        <v>750</v>
      </c>
    </row>
    <row r="22" spans="1:8" x14ac:dyDescent="0.25">
      <c r="B22" s="34" t="s">
        <v>7</v>
      </c>
      <c r="C22" s="35"/>
      <c r="D22" s="9">
        <v>1500</v>
      </c>
      <c r="F22" s="18" t="s">
        <v>28</v>
      </c>
      <c r="G22" s="51">
        <f>VLOOKUP(($G$16&amp;"-"&amp;F22),Planilha1!$A$23:$D$38,4,FALSE)</f>
        <v>0.05</v>
      </c>
      <c r="H22" s="49">
        <f>G22*Aporte</f>
        <v>75</v>
      </c>
    </row>
    <row r="23" spans="1:8" x14ac:dyDescent="0.25">
      <c r="B23" s="27" t="s">
        <v>1</v>
      </c>
      <c r="C23" s="36"/>
      <c r="D23" s="7">
        <v>5</v>
      </c>
      <c r="F23" s="18" t="s">
        <v>30</v>
      </c>
      <c r="G23" s="51">
        <f>VLOOKUP(($G$16&amp;"-"&amp;F23),Planilha1!$A$23:$D$38,4,FALSE)</f>
        <v>0.35</v>
      </c>
      <c r="H23" s="49">
        <f>G23*Aporte</f>
        <v>525</v>
      </c>
    </row>
    <row r="24" spans="1:8" ht="15.75" customHeight="1" thickBot="1" x14ac:dyDescent="0.3">
      <c r="B24" s="37" t="s">
        <v>2</v>
      </c>
      <c r="C24" s="38"/>
      <c r="D24" s="8">
        <v>9.9000000000000008E-3</v>
      </c>
      <c r="F24" s="19" t="s">
        <v>29</v>
      </c>
      <c r="G24" s="52">
        <f>VLOOKUP(($G$16&amp;"-"&amp;F24),Planilha1!$A$23:$D$38,4,FALSE)</f>
        <v>0</v>
      </c>
      <c r="H24" s="50">
        <f>G24*Aporte</f>
        <v>0</v>
      </c>
    </row>
    <row r="25" spans="1:8" ht="15.75" customHeight="1" x14ac:dyDescent="0.25">
      <c r="B25" s="28" t="s">
        <v>8</v>
      </c>
      <c r="C25" s="29"/>
      <c r="D25" s="10">
        <f>-FV(Taxa_Mensal,(Qnt_Anos*12),Aporte)</f>
        <v>122111.50039930824</v>
      </c>
      <c r="G25" s="75">
        <f>SUM(G20:G24)</f>
        <v>1</v>
      </c>
      <c r="H25" s="76">
        <f>SUM(H20:H24)</f>
        <v>1500</v>
      </c>
    </row>
    <row r="26" spans="1:8" ht="15.75" thickBot="1" x14ac:dyDescent="0.3">
      <c r="B26" s="30" t="s">
        <v>9</v>
      </c>
      <c r="C26" s="31"/>
      <c r="D26" s="11">
        <f>D25*D24</f>
        <v>1208.9038539531516</v>
      </c>
    </row>
    <row r="27" spans="1:8" ht="15.75" thickBot="1" x14ac:dyDescent="0.3"/>
    <row r="28" spans="1:8" ht="38.25" thickBot="1" x14ac:dyDescent="0.3">
      <c r="B28" s="2" t="s">
        <v>14</v>
      </c>
      <c r="C28" s="3"/>
      <c r="D28" s="4"/>
      <c r="E28" s="6" t="s">
        <v>16</v>
      </c>
    </row>
    <row r="29" spans="1:8" ht="16.5" thickBot="1" x14ac:dyDescent="0.3">
      <c r="A29" s="5">
        <v>1</v>
      </c>
      <c r="B29" s="43" t="s">
        <v>10</v>
      </c>
      <c r="C29" s="44"/>
      <c r="D29" s="12">
        <f>-FV($D$24,($A29*12),$D$22)</f>
        <v>19013.175291820902</v>
      </c>
      <c r="E29" s="13">
        <f>D29*$C$18</f>
        <v>188.23043538902695</v>
      </c>
    </row>
    <row r="30" spans="1:8" ht="16.5" thickBot="1" x14ac:dyDescent="0.3">
      <c r="A30" s="5">
        <v>5</v>
      </c>
      <c r="B30" s="41" t="s">
        <v>11</v>
      </c>
      <c r="C30" s="42"/>
      <c r="D30" s="14">
        <f>-FV($D$24,($A30*12),$D$22)</f>
        <v>122111.50039930824</v>
      </c>
      <c r="E30" s="15">
        <f>D30*$C$18</f>
        <v>1208.9038539531516</v>
      </c>
    </row>
    <row r="31" spans="1:8" ht="16.5" thickBot="1" x14ac:dyDescent="0.3">
      <c r="A31" s="5">
        <v>10</v>
      </c>
      <c r="B31" s="41" t="s">
        <v>12</v>
      </c>
      <c r="C31" s="42"/>
      <c r="D31" s="14">
        <f>-FV($D$24,($A31*12),$D$22)</f>
        <v>342637.04309510003</v>
      </c>
      <c r="E31" s="15">
        <f>D31*$C$18</f>
        <v>3392.1067266414907</v>
      </c>
      <c r="H31" s="20"/>
    </row>
    <row r="32" spans="1:8" ht="16.5" thickBot="1" x14ac:dyDescent="0.3">
      <c r="A32" s="5">
        <v>20</v>
      </c>
      <c r="B32" s="41" t="s">
        <v>13</v>
      </c>
      <c r="C32" s="42"/>
      <c r="D32" s="14">
        <f>-FV($D$24,($A32*12),$D$22)</f>
        <v>1460115.0319764926</v>
      </c>
      <c r="E32" s="15">
        <f>D32*$C$18</f>
        <v>14455.138816567278</v>
      </c>
      <c r="F32" s="21"/>
    </row>
    <row r="33" spans="1:6" ht="16.5" thickBot="1" x14ac:dyDescent="0.3">
      <c r="A33" s="5">
        <v>30</v>
      </c>
      <c r="B33" s="39" t="s">
        <v>15</v>
      </c>
      <c r="C33" s="40"/>
      <c r="D33" s="16">
        <f>-FV($D$24,($A33*12),$D$22)</f>
        <v>5104662.7561634704</v>
      </c>
      <c r="E33" s="17">
        <f>D33*$C$18</f>
        <v>50536.16128601836</v>
      </c>
      <c r="F33" s="21"/>
    </row>
    <row r="34" spans="1:6" x14ac:dyDescent="0.25"/>
    <row r="35" spans="1:6" x14ac:dyDescent="0.25"/>
    <row r="36" spans="1:6" x14ac:dyDescent="0.25"/>
    <row r="37" spans="1:6" x14ac:dyDescent="0.25">
      <c r="A37" s="5"/>
    </row>
    <row r="38" spans="1:6" x14ac:dyDescent="0.25"/>
    <row r="39" spans="1:6" x14ac:dyDescent="0.25"/>
    <row r="40" spans="1:6" x14ac:dyDescent="0.25"/>
    <row r="49" customFormat="1" hidden="1" x14ac:dyDescent="0.25"/>
    <row r="50" customFormat="1" hidden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  <row r="75" customFormat="1" hidden="1" x14ac:dyDescent="0.25"/>
    <row r="76" customFormat="1" hidden="1" x14ac:dyDescent="0.25"/>
  </sheetData>
  <mergeCells count="14">
    <mergeCell ref="B30:C30"/>
    <mergeCell ref="B29:C29"/>
    <mergeCell ref="B28:D28"/>
    <mergeCell ref="B21:D21"/>
    <mergeCell ref="B32:C32"/>
    <mergeCell ref="B33:C33"/>
    <mergeCell ref="B31:C31"/>
    <mergeCell ref="B26:C26"/>
    <mergeCell ref="B25:C25"/>
    <mergeCell ref="B24:C24"/>
    <mergeCell ref="A1:H10"/>
    <mergeCell ref="B16:C16"/>
    <mergeCell ref="B23:C23"/>
    <mergeCell ref="B22:C22"/>
  </mergeCells>
  <dataValidations count="1">
    <dataValidation type="list" allowBlank="1" showInputMessage="1" showErrorMessage="1" sqref="G16" xr:uid="{46065308-EA6C-4226-A3B3-0335184646E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Qnt_Anos</vt:lpstr>
      <vt:lpstr>Rendimento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Silva moulin</dc:creator>
  <cp:lastModifiedBy>Arthur Silva moulin</cp:lastModifiedBy>
  <dcterms:created xsi:type="dcterms:W3CDTF">2026-01-27T18:52:24Z</dcterms:created>
  <dcterms:modified xsi:type="dcterms:W3CDTF">2026-01-27T20:25:38Z</dcterms:modified>
</cp:coreProperties>
</file>